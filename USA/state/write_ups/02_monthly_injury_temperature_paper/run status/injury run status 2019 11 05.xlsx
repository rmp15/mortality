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13_ncr:1_{4C6F8FE0-AAF5-A640-83BB-CAA8E6D2C556}" xr6:coauthVersionLast="43" xr6:coauthVersionMax="43" xr10:uidLastSave="{00000000-0000-0000-0000-000000000000}"/>
  <bookViews>
    <workbookView xWindow="0" yWindow="0" windowWidth="28800" windowHeight="18000" xr2:uid="{EEED0C99-B3C8-514A-88F3-BD9C55295003}"/>
  </bookViews>
  <sheets>
    <sheet name="Sheet1" sheetId="1" r:id="rId1"/>
  </sheets>
  <definedNames>
    <definedName name="_xlnm._FilterDatabase" localSheetId="0" hidden="1">Sheet1!$AE$1:$AE$102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4" i="1" l="1"/>
  <c r="AS5" i="1"/>
  <c r="AS6" i="1"/>
  <c r="AS7" i="1"/>
  <c r="AS8" i="1"/>
  <c r="AS9" i="1"/>
  <c r="AS10" i="1"/>
  <c r="AS11" i="1"/>
  <c r="AS12" i="1"/>
  <c r="AS3" i="1"/>
  <c r="AE3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4" i="1"/>
</calcChain>
</file>

<file path=xl/sharedStrings.xml><?xml version="1.0" encoding="utf-8"?>
<sst xmlns="http://schemas.openxmlformats.org/spreadsheetml/2006/main" count="1029" uniqueCount="30">
  <si>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</si>
  <si>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</si>
  <si>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</si>
  <si>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</si>
  <si>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</si>
  <si>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</si>
  <si>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</si>
  <si>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</si>
  <si>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</si>
  <si>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</si>
  <si>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</si>
  <si>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</si>
  <si>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</si>
  <si>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</si>
  <si>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</si>
  <si>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</si>
  <si>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</si>
  <si>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</si>
  <si>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</si>
  <si>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</si>
  <si>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</si>
  <si>
    <t>How much of injury is run?</t>
  </si>
  <si>
    <t>MALES</t>
  </si>
  <si>
    <t>ç</t>
  </si>
  <si>
    <t>FEMALES</t>
  </si>
  <si>
    <t>Road traffic</t>
  </si>
  <si>
    <t>Road traffic and non-road traffic</t>
  </si>
  <si>
    <t>Other</t>
  </si>
  <si>
    <t>Both run?</t>
  </si>
  <si>
    <t>Complete across sex and cause?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</si>
</sst>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AS102"/>
  <sheetViews>
    <sheetView tabSelected="1" topLeftCell="X1" zoomScale="90" zoomScaleNormal="90" workbookViewId="0">
      <pane ySplit="1" topLeftCell="A2" activePane="bottomLeft" state="frozen"/>
      <selection activeCell="N1" sqref="N1"/>
      <selection pane="bottomLeft" activeCell="AL4" sqref="AL4"/>
    </sheetView>
  </sheetViews>
  <sheetFormatPr baseColWidth="10" defaultColWidth="22" defaultRowHeight="16" x14ac:dyDescent="0.2"/>
  <cols>
    <col min="1" max="1" width="9" bestFit="1" customWidth="1"/>
    <col min="2" max="2" width="9.5" bestFit="1" customWidth="1"/>
    <col min="3" max="3" width="4.1640625" bestFit="1" customWidth="1"/>
    <col min="4" max="4" width="12.1640625" bestFit="1" customWidth="1"/>
    <col min="5" max="5" width="5.33203125" bestFit="1" customWidth="1"/>
    <col min="7" max="7" width="9" bestFit="1" customWidth="1"/>
    <col min="8" max="8" width="9.5" bestFit="1" customWidth="1"/>
    <col min="9" max="9" width="4.1640625" bestFit="1" customWidth="1"/>
    <col min="10" max="10" width="7.33203125" bestFit="1" customWidth="1"/>
    <col min="11" max="11" width="7.83203125" bestFit="1" customWidth="1"/>
    <col min="12" max="12" width="23.6640625" bestFit="1" customWidth="1"/>
    <col min="14" max="14" width="9" bestFit="1" customWidth="1"/>
    <col min="15" max="15" width="9.5" bestFit="1" customWidth="1"/>
    <col min="16" max="16" width="4.1640625" bestFit="1" customWidth="1"/>
    <col min="17" max="17" width="7.33203125" bestFit="1" customWidth="1"/>
    <col min="18" max="18" width="7.83203125" bestFit="1" customWidth="1"/>
    <col min="19" max="19" width="23.6640625" bestFit="1" customWidth="1"/>
    <col min="21" max="21" width="14.5" bestFit="1" customWidth="1"/>
    <col min="22" max="22" width="9.6640625" bestFit="1" customWidth="1"/>
    <col min="23" max="23" width="4.1640625" bestFit="1" customWidth="1"/>
    <col min="24" max="24" width="7.33203125" bestFit="1" customWidth="1"/>
    <col min="25" max="25" width="5.33203125" bestFit="1" customWidth="1"/>
    <col min="26" max="26" width="5.83203125" bestFit="1" customWidth="1"/>
    <col min="27" max="27" width="9.6640625" bestFit="1" customWidth="1"/>
    <col min="28" max="28" width="4.1640625" bestFit="1" customWidth="1"/>
    <col min="29" max="29" width="7.33203125" bestFit="1" customWidth="1"/>
    <col min="30" max="30" width="5.33203125" bestFit="1" customWidth="1"/>
    <col min="33" max="33" width="28.33203125" bestFit="1" customWidth="1"/>
    <col min="34" max="34" width="10" bestFit="1" customWidth="1"/>
    <col min="35" max="35" width="3" bestFit="1" customWidth="1"/>
    <col min="36" max="36" width="5.5" bestFit="1" customWidth="1"/>
    <col min="37" max="37" width="6.33203125" bestFit="1" customWidth="1"/>
    <col min="38" max="38" width="5.5" bestFit="1" customWidth="1"/>
    <col min="39" max="39" width="10.83203125" bestFit="1" customWidth="1"/>
    <col min="40" max="40" width="10" bestFit="1" customWidth="1"/>
    <col min="41" max="41" width="3" bestFit="1" customWidth="1"/>
    <col min="42" max="42" width="5.5" bestFit="1" customWidth="1"/>
    <col min="43" max="43" width="6.33203125" bestFit="1" customWidth="1"/>
    <col min="44" max="44" width="5.5" bestFit="1" customWidth="1"/>
    <col min="45" max="45" width="28.5" bestFit="1" customWidth="1"/>
  </cols>
  <sheetData>
    <row r="1" spans="1:45" x14ac:dyDescent="0.2">
      <c r="A1" s="8" t="s">
        <v>19</v>
      </c>
      <c r="B1" s="8"/>
      <c r="C1" s="8"/>
      <c r="D1" s="8"/>
      <c r="E1" s="8"/>
      <c r="G1" s="9" t="s">
        <v>20</v>
      </c>
      <c r="H1" s="9"/>
      <c r="I1" s="9"/>
      <c r="J1" s="9"/>
      <c r="K1" s="9"/>
      <c r="L1" s="1" t="s">
        <v>22</v>
      </c>
      <c r="N1" s="9" t="s">
        <v>20</v>
      </c>
      <c r="O1" s="9"/>
      <c r="P1" s="9"/>
      <c r="Q1" s="9"/>
      <c r="R1" s="9"/>
      <c r="S1" s="1" t="s">
        <v>24</v>
      </c>
      <c r="U1" s="9" t="s">
        <v>26</v>
      </c>
      <c r="V1" s="9"/>
      <c r="W1" s="9"/>
      <c r="X1" s="9"/>
      <c r="Y1" s="9"/>
      <c r="Z1" s="9"/>
      <c r="AA1" s="9"/>
      <c r="AB1" s="9"/>
      <c r="AC1" s="9"/>
      <c r="AD1" s="9"/>
      <c r="AE1" s="9"/>
      <c r="AG1" s="9" t="s">
        <v>26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21</v>
      </c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21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28</v>
      </c>
      <c r="AG2" s="1" t="s">
        <v>0</v>
      </c>
      <c r="AH2" s="1" t="s">
        <v>1</v>
      </c>
      <c r="AI2" s="1" t="s">
        <v>8</v>
      </c>
      <c r="AJ2" s="1" t="s">
        <v>4</v>
      </c>
      <c r="AK2" s="1" t="s">
        <v>0</v>
      </c>
      <c r="AL2" s="1" t="s">
        <v>4</v>
      </c>
      <c r="AM2" s="1" t="s">
        <v>0</v>
      </c>
      <c r="AN2" s="1" t="s">
        <v>1</v>
      </c>
      <c r="AO2" s="1" t="s">
        <v>9</v>
      </c>
      <c r="AP2" s="1" t="s">
        <v>4</v>
      </c>
      <c r="AQ2" s="1" t="s">
        <v>0</v>
      </c>
      <c r="AR2" s="1" t="s">
        <v>4</v>
      </c>
      <c r="AS2" s="1" t="s">
        <v>29</v>
      </c>
    </row>
    <row r="3" spans="1:45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7</v>
      </c>
      <c r="L3" s="6">
        <v>1</v>
      </c>
      <c r="N3" s="2" t="s">
        <v>5</v>
      </c>
      <c r="O3">
        <v>85</v>
      </c>
      <c r="P3" t="s">
        <v>8</v>
      </c>
      <c r="Q3" t="s">
        <v>18</v>
      </c>
      <c r="R3" s="5" t="s">
        <v>7</v>
      </c>
      <c r="S3" s="6"/>
      <c r="U3" s="2" t="s">
        <v>25</v>
      </c>
      <c r="V3" s="5">
        <v>85</v>
      </c>
      <c r="W3" s="5" t="s">
        <v>8</v>
      </c>
      <c r="X3" s="5" t="s">
        <v>18</v>
      </c>
      <c r="Y3" s="5">
        <v>1</v>
      </c>
      <c r="Z3" s="3" t="s">
        <v>27</v>
      </c>
      <c r="AA3" s="5">
        <v>85</v>
      </c>
      <c r="AB3" s="5" t="s">
        <v>8</v>
      </c>
      <c r="AC3" s="5" t="s">
        <v>18</v>
      </c>
      <c r="AD3" s="5">
        <v>1</v>
      </c>
      <c r="AE3">
        <f>IF(AND(Y3&gt;0,AD3&gt;0)=TRUE,1,0)</f>
        <v>1</v>
      </c>
      <c r="AG3" s="2" t="s">
        <v>25</v>
      </c>
      <c r="AH3" s="5">
        <v>85</v>
      </c>
      <c r="AI3" s="5" t="s">
        <v>8</v>
      </c>
      <c r="AJ3" s="5">
        <v>1</v>
      </c>
      <c r="AK3" s="3" t="s">
        <v>27</v>
      </c>
      <c r="AL3" s="5">
        <v>1</v>
      </c>
      <c r="AM3" s="2" t="s">
        <v>25</v>
      </c>
      <c r="AN3" s="5">
        <v>85</v>
      </c>
      <c r="AO3" s="5" t="s">
        <v>9</v>
      </c>
      <c r="AP3" s="5">
        <v>1</v>
      </c>
      <c r="AQ3" s="3" t="s">
        <v>27</v>
      </c>
      <c r="AR3" s="5">
        <v>1</v>
      </c>
      <c r="AS3">
        <f>IF(AND(AJ3=1,AL3=1,AP3=1,AR3=1)=TRUE,1,0)</f>
        <v>1</v>
      </c>
    </row>
    <row r="4" spans="1:45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7</v>
      </c>
      <c r="L4" s="7"/>
      <c r="N4" s="2" t="s">
        <v>5</v>
      </c>
      <c r="O4">
        <v>75</v>
      </c>
      <c r="P4" t="s">
        <v>8</v>
      </c>
      <c r="Q4" t="s">
        <v>18</v>
      </c>
      <c r="R4" t="s">
        <v>7</v>
      </c>
      <c r="S4" s="7"/>
      <c r="U4" s="2" t="s">
        <v>25</v>
      </c>
      <c r="V4" s="5">
        <v>85</v>
      </c>
      <c r="W4" s="5" t="s">
        <v>9</v>
      </c>
      <c r="X4" s="5" t="s">
        <v>18</v>
      </c>
      <c r="Y4" s="5">
        <v>1</v>
      </c>
      <c r="Z4" s="3" t="s">
        <v>27</v>
      </c>
      <c r="AA4" s="5">
        <v>85</v>
      </c>
      <c r="AB4" s="5" t="s">
        <v>9</v>
      </c>
      <c r="AC4" s="5" t="s">
        <v>18</v>
      </c>
      <c r="AD4" s="5">
        <v>1</v>
      </c>
      <c r="AE4">
        <f>IF(AND(Y4&gt;0,AD4&gt;0)=TRUE,1,0)</f>
        <v>1</v>
      </c>
      <c r="AG4" s="2" t="s">
        <v>25</v>
      </c>
      <c r="AH4" s="5">
        <v>75</v>
      </c>
      <c r="AI4" s="5" t="s">
        <v>8</v>
      </c>
      <c r="AJ4" s="5"/>
      <c r="AK4" s="3" t="s">
        <v>27</v>
      </c>
      <c r="AL4" s="5">
        <v>1</v>
      </c>
      <c r="AM4" s="2" t="s">
        <v>25</v>
      </c>
      <c r="AN4" s="5">
        <v>75</v>
      </c>
      <c r="AO4" s="5" t="s">
        <v>9</v>
      </c>
      <c r="AP4" s="5">
        <v>1</v>
      </c>
      <c r="AQ4" s="3" t="s">
        <v>27</v>
      </c>
      <c r="AR4" s="5"/>
      <c r="AS4">
        <f t="shared" ref="AS4:AS12" si="0">IF(AND(AJ4=1,AL4=1,AP4=1,AR4=1)=TRUE,1,0)</f>
        <v>0</v>
      </c>
    </row>
    <row r="5" spans="1:45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7</v>
      </c>
      <c r="L5" s="7"/>
      <c r="N5" s="2" t="s">
        <v>5</v>
      </c>
      <c r="O5">
        <v>65</v>
      </c>
      <c r="P5" t="s">
        <v>8</v>
      </c>
      <c r="Q5" t="s">
        <v>18</v>
      </c>
      <c r="R5" t="s">
        <v>7</v>
      </c>
      <c r="S5" s="7"/>
      <c r="U5" s="2" t="s">
        <v>25</v>
      </c>
      <c r="V5" s="5">
        <v>75</v>
      </c>
      <c r="W5" s="5" t="s">
        <v>8</v>
      </c>
      <c r="X5" s="5" t="s">
        <v>18</v>
      </c>
      <c r="Y5" s="5"/>
      <c r="Z5" s="3" t="s">
        <v>27</v>
      </c>
      <c r="AA5" s="5">
        <v>75</v>
      </c>
      <c r="AB5" s="5" t="s">
        <v>8</v>
      </c>
      <c r="AC5" s="5" t="s">
        <v>18</v>
      </c>
      <c r="AD5" s="5">
        <v>1</v>
      </c>
      <c r="AE5">
        <f t="shared" ref="AE5:AE22" si="1">IF(AND(Y5&gt;0,AD5&gt;0)=TRUE,1,0)</f>
        <v>0</v>
      </c>
      <c r="AG5" s="2" t="s">
        <v>25</v>
      </c>
      <c r="AH5" s="5">
        <v>65</v>
      </c>
      <c r="AI5" s="5" t="s">
        <v>8</v>
      </c>
      <c r="AJ5" s="5">
        <v>1</v>
      </c>
      <c r="AK5" s="3" t="s">
        <v>27</v>
      </c>
      <c r="AL5" s="5">
        <v>1</v>
      </c>
      <c r="AM5" s="2" t="s">
        <v>25</v>
      </c>
      <c r="AN5" s="5">
        <v>65</v>
      </c>
      <c r="AO5" s="5" t="s">
        <v>9</v>
      </c>
      <c r="AP5" s="5">
        <v>1</v>
      </c>
      <c r="AQ5" s="3" t="s">
        <v>27</v>
      </c>
      <c r="AR5" s="5">
        <v>1</v>
      </c>
      <c r="AS5">
        <f t="shared" si="0"/>
        <v>1</v>
      </c>
    </row>
    <row r="6" spans="1:45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7</v>
      </c>
      <c r="L6" s="7"/>
      <c r="N6" s="2" t="s">
        <v>5</v>
      </c>
      <c r="O6">
        <v>55</v>
      </c>
      <c r="P6" t="s">
        <v>8</v>
      </c>
      <c r="Q6" t="s">
        <v>18</v>
      </c>
      <c r="R6" t="s">
        <v>7</v>
      </c>
      <c r="S6" s="7"/>
      <c r="U6" s="2" t="s">
        <v>25</v>
      </c>
      <c r="V6" s="5">
        <v>75</v>
      </c>
      <c r="W6" s="5" t="s">
        <v>9</v>
      </c>
      <c r="X6" s="5" t="s">
        <v>18</v>
      </c>
      <c r="Y6" s="5">
        <v>1</v>
      </c>
      <c r="Z6" s="3" t="s">
        <v>27</v>
      </c>
      <c r="AA6" s="5">
        <v>75</v>
      </c>
      <c r="AB6" s="5" t="s">
        <v>9</v>
      </c>
      <c r="AC6" s="5" t="s">
        <v>18</v>
      </c>
      <c r="AD6" s="5"/>
      <c r="AE6">
        <f t="shared" si="1"/>
        <v>0</v>
      </c>
      <c r="AG6" s="2" t="s">
        <v>25</v>
      </c>
      <c r="AH6" s="5">
        <v>55</v>
      </c>
      <c r="AI6" s="5" t="s">
        <v>8</v>
      </c>
      <c r="AJ6" s="5">
        <v>1</v>
      </c>
      <c r="AK6" s="3" t="s">
        <v>27</v>
      </c>
      <c r="AL6" s="5">
        <v>1</v>
      </c>
      <c r="AM6" s="2" t="s">
        <v>25</v>
      </c>
      <c r="AN6" s="5">
        <v>55</v>
      </c>
      <c r="AO6" s="5" t="s">
        <v>9</v>
      </c>
      <c r="AP6" s="5">
        <v>1</v>
      </c>
      <c r="AQ6" s="3" t="s">
        <v>27</v>
      </c>
      <c r="AR6" s="5"/>
      <c r="AS6">
        <f t="shared" si="0"/>
        <v>0</v>
      </c>
    </row>
    <row r="7" spans="1:45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7</v>
      </c>
      <c r="L7" s="7"/>
      <c r="N7" s="2" t="s">
        <v>5</v>
      </c>
      <c r="O7">
        <v>45</v>
      </c>
      <c r="P7" t="s">
        <v>8</v>
      </c>
      <c r="Q7" t="s">
        <v>18</v>
      </c>
      <c r="R7" t="s">
        <v>7</v>
      </c>
      <c r="S7" s="7"/>
      <c r="U7" s="2" t="s">
        <v>25</v>
      </c>
      <c r="V7" s="5">
        <v>65</v>
      </c>
      <c r="W7" s="5" t="s">
        <v>8</v>
      </c>
      <c r="X7" s="5" t="s">
        <v>18</v>
      </c>
      <c r="Y7" s="5">
        <v>1</v>
      </c>
      <c r="Z7" s="3" t="s">
        <v>27</v>
      </c>
      <c r="AA7" s="5">
        <v>65</v>
      </c>
      <c r="AB7" s="5" t="s">
        <v>8</v>
      </c>
      <c r="AC7" s="5" t="s">
        <v>18</v>
      </c>
      <c r="AD7" s="5">
        <v>1</v>
      </c>
      <c r="AE7">
        <f t="shared" si="1"/>
        <v>1</v>
      </c>
      <c r="AG7" s="2" t="s">
        <v>25</v>
      </c>
      <c r="AH7" s="5">
        <v>45</v>
      </c>
      <c r="AI7" s="5" t="s">
        <v>8</v>
      </c>
      <c r="AJ7" s="5"/>
      <c r="AK7" s="3" t="s">
        <v>27</v>
      </c>
      <c r="AL7" s="5">
        <v>1</v>
      </c>
      <c r="AM7" s="2" t="s">
        <v>25</v>
      </c>
      <c r="AN7" s="5">
        <v>45</v>
      </c>
      <c r="AO7" s="5" t="s">
        <v>9</v>
      </c>
      <c r="AP7" s="5">
        <v>1</v>
      </c>
      <c r="AQ7" s="3" t="s">
        <v>27</v>
      </c>
      <c r="AR7" s="5">
        <v>1</v>
      </c>
      <c r="AS7">
        <f t="shared" si="0"/>
        <v>0</v>
      </c>
    </row>
    <row r="8" spans="1:45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7</v>
      </c>
      <c r="L8" s="7"/>
      <c r="N8" s="2" t="s">
        <v>5</v>
      </c>
      <c r="O8">
        <v>35</v>
      </c>
      <c r="P8" t="s">
        <v>8</v>
      </c>
      <c r="Q8" t="s">
        <v>18</v>
      </c>
      <c r="R8" s="5" t="s">
        <v>17</v>
      </c>
      <c r="S8" s="7"/>
      <c r="U8" s="2" t="s">
        <v>25</v>
      </c>
      <c r="V8" s="5">
        <v>65</v>
      </c>
      <c r="W8" s="5" t="s">
        <v>9</v>
      </c>
      <c r="X8" s="5" t="s">
        <v>18</v>
      </c>
      <c r="Y8" s="5">
        <v>1</v>
      </c>
      <c r="Z8" s="3" t="s">
        <v>27</v>
      </c>
      <c r="AA8" s="5">
        <v>65</v>
      </c>
      <c r="AB8" s="5" t="s">
        <v>9</v>
      </c>
      <c r="AC8" s="5" t="s">
        <v>18</v>
      </c>
      <c r="AD8" s="5">
        <v>1</v>
      </c>
      <c r="AE8">
        <f t="shared" si="1"/>
        <v>1</v>
      </c>
      <c r="AG8" s="2" t="s">
        <v>25</v>
      </c>
      <c r="AH8" s="5">
        <v>35</v>
      </c>
      <c r="AI8" s="5" t="s">
        <v>8</v>
      </c>
      <c r="AJ8" s="5">
        <v>1</v>
      </c>
      <c r="AK8" s="3" t="s">
        <v>27</v>
      </c>
      <c r="AL8" s="5">
        <v>1</v>
      </c>
      <c r="AM8" s="2" t="s">
        <v>25</v>
      </c>
      <c r="AN8" s="5">
        <v>35</v>
      </c>
      <c r="AO8" s="5" t="s">
        <v>9</v>
      </c>
      <c r="AP8" s="5"/>
      <c r="AQ8" s="3" t="s">
        <v>27</v>
      </c>
      <c r="AR8" s="5">
        <v>1</v>
      </c>
      <c r="AS8">
        <f t="shared" si="0"/>
        <v>0</v>
      </c>
    </row>
    <row r="9" spans="1:45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7</v>
      </c>
      <c r="L9" s="7"/>
      <c r="N9" s="2" t="s">
        <v>5</v>
      </c>
      <c r="O9">
        <v>25</v>
      </c>
      <c r="P9" t="s">
        <v>8</v>
      </c>
      <c r="Q9" t="s">
        <v>18</v>
      </c>
      <c r="R9" s="5" t="s">
        <v>17</v>
      </c>
      <c r="S9" s="7"/>
      <c r="U9" s="2" t="s">
        <v>25</v>
      </c>
      <c r="V9" s="5">
        <v>55</v>
      </c>
      <c r="W9" s="5" t="s">
        <v>8</v>
      </c>
      <c r="X9" s="5" t="s">
        <v>18</v>
      </c>
      <c r="Y9" s="5">
        <v>1</v>
      </c>
      <c r="Z9" s="3" t="s">
        <v>27</v>
      </c>
      <c r="AA9" s="5">
        <v>55</v>
      </c>
      <c r="AB9" s="5" t="s">
        <v>8</v>
      </c>
      <c r="AC9" s="5" t="s">
        <v>18</v>
      </c>
      <c r="AD9" s="5">
        <v>1</v>
      </c>
      <c r="AE9">
        <f t="shared" si="1"/>
        <v>1</v>
      </c>
      <c r="AG9" s="2" t="s">
        <v>25</v>
      </c>
      <c r="AH9" s="5">
        <v>25</v>
      </c>
      <c r="AI9" s="5" t="s">
        <v>8</v>
      </c>
      <c r="AJ9" s="5"/>
      <c r="AK9" s="3" t="s">
        <v>27</v>
      </c>
      <c r="AL9" s="5"/>
      <c r="AM9" s="2" t="s">
        <v>25</v>
      </c>
      <c r="AN9" s="5">
        <v>25</v>
      </c>
      <c r="AO9" s="5" t="s">
        <v>9</v>
      </c>
      <c r="AP9" s="5"/>
      <c r="AQ9" s="3" t="s">
        <v>27</v>
      </c>
      <c r="AS9">
        <f t="shared" si="0"/>
        <v>0</v>
      </c>
    </row>
    <row r="10" spans="1:45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7</v>
      </c>
      <c r="L10" s="7"/>
      <c r="N10" s="2" t="s">
        <v>5</v>
      </c>
      <c r="O10">
        <v>15</v>
      </c>
      <c r="P10" t="s">
        <v>8</v>
      </c>
      <c r="Q10" t="s">
        <v>18</v>
      </c>
      <c r="R10" s="5" t="s">
        <v>17</v>
      </c>
      <c r="S10" s="7"/>
      <c r="U10" s="2" t="s">
        <v>25</v>
      </c>
      <c r="V10" s="5">
        <v>55</v>
      </c>
      <c r="W10" s="5" t="s">
        <v>9</v>
      </c>
      <c r="X10" s="5" t="s">
        <v>18</v>
      </c>
      <c r="Y10" s="5">
        <v>1</v>
      </c>
      <c r="Z10" s="3" t="s">
        <v>27</v>
      </c>
      <c r="AA10" s="5">
        <v>55</v>
      </c>
      <c r="AB10" s="5" t="s">
        <v>9</v>
      </c>
      <c r="AC10" s="5" t="s">
        <v>18</v>
      </c>
      <c r="AD10" s="5"/>
      <c r="AE10">
        <f t="shared" si="1"/>
        <v>0</v>
      </c>
      <c r="AG10" s="2" t="s">
        <v>25</v>
      </c>
      <c r="AH10" s="5">
        <v>15</v>
      </c>
      <c r="AI10" s="5" t="s">
        <v>8</v>
      </c>
      <c r="AJ10" s="5"/>
      <c r="AK10" s="3" t="s">
        <v>27</v>
      </c>
      <c r="AL10" s="5"/>
      <c r="AM10" s="2" t="s">
        <v>25</v>
      </c>
      <c r="AN10" s="5">
        <v>15</v>
      </c>
      <c r="AO10" s="5" t="s">
        <v>9</v>
      </c>
      <c r="AP10" s="5"/>
      <c r="AQ10" s="3" t="s">
        <v>27</v>
      </c>
      <c r="AR10" s="5"/>
      <c r="AS10">
        <f t="shared" si="0"/>
        <v>0</v>
      </c>
    </row>
    <row r="11" spans="1:45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7</v>
      </c>
      <c r="L11" s="7"/>
      <c r="N11" s="2" t="s">
        <v>5</v>
      </c>
      <c r="O11">
        <v>5</v>
      </c>
      <c r="P11" t="s">
        <v>8</v>
      </c>
      <c r="Q11" t="s">
        <v>18</v>
      </c>
      <c r="R11" s="5" t="s">
        <v>7</v>
      </c>
      <c r="S11" s="7"/>
      <c r="U11" s="2" t="s">
        <v>25</v>
      </c>
      <c r="V11" s="5">
        <v>45</v>
      </c>
      <c r="W11" s="5" t="s">
        <v>8</v>
      </c>
      <c r="X11" s="5" t="s">
        <v>18</v>
      </c>
      <c r="Y11" s="5"/>
      <c r="Z11" s="3" t="s">
        <v>27</v>
      </c>
      <c r="AA11" s="5">
        <v>45</v>
      </c>
      <c r="AB11" s="5" t="s">
        <v>8</v>
      </c>
      <c r="AC11" s="5" t="s">
        <v>18</v>
      </c>
      <c r="AD11" s="5">
        <v>1</v>
      </c>
      <c r="AE11">
        <f t="shared" si="1"/>
        <v>0</v>
      </c>
      <c r="AG11" s="2" t="s">
        <v>25</v>
      </c>
      <c r="AH11" s="5">
        <v>5</v>
      </c>
      <c r="AI11" s="5" t="s">
        <v>8</v>
      </c>
      <c r="AJ11" s="5"/>
      <c r="AK11" s="3" t="s">
        <v>27</v>
      </c>
      <c r="AL11" s="5">
        <v>1</v>
      </c>
      <c r="AM11" s="2" t="s">
        <v>25</v>
      </c>
      <c r="AN11" s="5">
        <v>5</v>
      </c>
      <c r="AO11" s="5" t="s">
        <v>9</v>
      </c>
      <c r="AP11" s="5">
        <v>1</v>
      </c>
      <c r="AQ11" s="3" t="s">
        <v>27</v>
      </c>
      <c r="AR11" s="5">
        <v>1</v>
      </c>
      <c r="AS11">
        <f t="shared" si="0"/>
        <v>0</v>
      </c>
    </row>
    <row r="12" spans="1:45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7</v>
      </c>
      <c r="L12" s="7"/>
      <c r="N12" s="2" t="s">
        <v>5</v>
      </c>
      <c r="O12">
        <v>0</v>
      </c>
      <c r="P12" t="s">
        <v>8</v>
      </c>
      <c r="Q12" t="s">
        <v>18</v>
      </c>
      <c r="R12" s="5" t="s">
        <v>17</v>
      </c>
      <c r="S12" s="7"/>
      <c r="T12" s="5"/>
      <c r="U12" s="2" t="s">
        <v>25</v>
      </c>
      <c r="V12" s="5">
        <v>45</v>
      </c>
      <c r="W12" s="5" t="s">
        <v>9</v>
      </c>
      <c r="X12" s="5" t="s">
        <v>18</v>
      </c>
      <c r="Y12" s="5">
        <v>1</v>
      </c>
      <c r="Z12" s="3" t="s">
        <v>27</v>
      </c>
      <c r="AA12" s="5">
        <v>45</v>
      </c>
      <c r="AB12" s="5" t="s">
        <v>9</v>
      </c>
      <c r="AC12" s="5" t="s">
        <v>18</v>
      </c>
      <c r="AD12" s="5">
        <v>1</v>
      </c>
      <c r="AE12">
        <f t="shared" si="1"/>
        <v>1</v>
      </c>
      <c r="AG12" s="2" t="s">
        <v>25</v>
      </c>
      <c r="AH12" s="5">
        <v>0</v>
      </c>
      <c r="AI12" s="5" t="s">
        <v>8</v>
      </c>
      <c r="AJ12" s="5">
        <v>1</v>
      </c>
      <c r="AK12" s="3" t="s">
        <v>27</v>
      </c>
      <c r="AL12" s="5">
        <v>1</v>
      </c>
      <c r="AM12" s="2" t="s">
        <v>25</v>
      </c>
      <c r="AN12" s="5">
        <v>0</v>
      </c>
      <c r="AO12" s="5" t="s">
        <v>9</v>
      </c>
      <c r="AP12" s="5">
        <v>1</v>
      </c>
      <c r="AQ12" s="3" t="s">
        <v>27</v>
      </c>
      <c r="AR12" s="5">
        <v>1</v>
      </c>
      <c r="AS12">
        <f t="shared" si="0"/>
        <v>1</v>
      </c>
    </row>
    <row r="13" spans="1:45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7</v>
      </c>
      <c r="L13" s="6">
        <v>1</v>
      </c>
      <c r="N13" s="3" t="s">
        <v>10</v>
      </c>
      <c r="O13">
        <v>85</v>
      </c>
      <c r="P13" t="s">
        <v>8</v>
      </c>
      <c r="Q13" t="s">
        <v>18</v>
      </c>
      <c r="R13" s="5" t="s">
        <v>17</v>
      </c>
      <c r="S13" s="6"/>
      <c r="U13" s="2" t="s">
        <v>25</v>
      </c>
      <c r="V13" s="5">
        <v>35</v>
      </c>
      <c r="W13" s="5" t="s">
        <v>8</v>
      </c>
      <c r="X13" s="5" t="s">
        <v>18</v>
      </c>
      <c r="Y13" s="5">
        <v>1</v>
      </c>
      <c r="Z13" s="3" t="s">
        <v>27</v>
      </c>
      <c r="AA13" s="5">
        <v>35</v>
      </c>
      <c r="AB13" s="5" t="s">
        <v>8</v>
      </c>
      <c r="AC13" s="5" t="s">
        <v>18</v>
      </c>
      <c r="AD13" s="5">
        <v>1</v>
      </c>
      <c r="AE13">
        <f t="shared" si="1"/>
        <v>1</v>
      </c>
    </row>
    <row r="14" spans="1:45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7</v>
      </c>
      <c r="L14" s="7"/>
      <c r="N14" s="3" t="s">
        <v>10</v>
      </c>
      <c r="O14">
        <v>75</v>
      </c>
      <c r="P14" t="s">
        <v>8</v>
      </c>
      <c r="Q14" t="s">
        <v>18</v>
      </c>
      <c r="R14" s="5" t="s">
        <v>17</v>
      </c>
      <c r="S14" s="7"/>
      <c r="U14" s="2" t="s">
        <v>25</v>
      </c>
      <c r="V14" s="5">
        <v>35</v>
      </c>
      <c r="W14" s="5" t="s">
        <v>9</v>
      </c>
      <c r="X14" s="5" t="s">
        <v>18</v>
      </c>
      <c r="Y14" s="5"/>
      <c r="Z14" s="3" t="s">
        <v>27</v>
      </c>
      <c r="AA14" s="5">
        <v>35</v>
      </c>
      <c r="AB14" s="5" t="s">
        <v>9</v>
      </c>
      <c r="AC14" s="5" t="s">
        <v>18</v>
      </c>
      <c r="AD14" s="5">
        <v>1</v>
      </c>
      <c r="AE14">
        <f t="shared" si="1"/>
        <v>0</v>
      </c>
    </row>
    <row r="15" spans="1:45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7</v>
      </c>
      <c r="L15" s="7"/>
      <c r="N15" s="3" t="s">
        <v>10</v>
      </c>
      <c r="O15">
        <v>65</v>
      </c>
      <c r="P15" t="s">
        <v>8</v>
      </c>
      <c r="Q15" t="s">
        <v>18</v>
      </c>
      <c r="R15" s="5" t="s">
        <v>17</v>
      </c>
      <c r="S15" s="7"/>
      <c r="U15" s="2" t="s">
        <v>25</v>
      </c>
      <c r="V15" s="5">
        <v>25</v>
      </c>
      <c r="W15" s="5" t="s">
        <v>8</v>
      </c>
      <c r="X15" s="5" t="s">
        <v>18</v>
      </c>
      <c r="Y15" s="5"/>
      <c r="Z15" s="3" t="s">
        <v>27</v>
      </c>
      <c r="AA15" s="5">
        <v>25</v>
      </c>
      <c r="AB15" s="5" t="s">
        <v>8</v>
      </c>
      <c r="AC15" s="5" t="s">
        <v>18</v>
      </c>
      <c r="AD15" s="5"/>
      <c r="AE15">
        <f t="shared" si="1"/>
        <v>0</v>
      </c>
    </row>
    <row r="16" spans="1:45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7</v>
      </c>
      <c r="L16" s="7"/>
      <c r="N16" s="3" t="s">
        <v>10</v>
      </c>
      <c r="O16">
        <v>55</v>
      </c>
      <c r="P16" t="s">
        <v>8</v>
      </c>
      <c r="Q16" t="s">
        <v>18</v>
      </c>
      <c r="R16" t="s">
        <v>7</v>
      </c>
      <c r="S16" s="7"/>
      <c r="U16" s="2" t="s">
        <v>25</v>
      </c>
      <c r="V16" s="5">
        <v>25</v>
      </c>
      <c r="W16" s="5" t="s">
        <v>9</v>
      </c>
      <c r="X16" s="5" t="s">
        <v>18</v>
      </c>
      <c r="Y16" s="5"/>
      <c r="Z16" s="3" t="s">
        <v>27</v>
      </c>
      <c r="AA16" s="5">
        <v>25</v>
      </c>
      <c r="AB16" s="5" t="s">
        <v>9</v>
      </c>
      <c r="AC16" s="5" t="s">
        <v>18</v>
      </c>
      <c r="AD16" s="5"/>
      <c r="AE16">
        <f t="shared" si="1"/>
        <v>0</v>
      </c>
    </row>
    <row r="17" spans="1:31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7</v>
      </c>
      <c r="L17" s="7"/>
      <c r="N17" s="3" t="s">
        <v>10</v>
      </c>
      <c r="O17">
        <v>45</v>
      </c>
      <c r="P17" t="s">
        <v>8</v>
      </c>
      <c r="Q17" t="s">
        <v>18</v>
      </c>
      <c r="R17" t="s">
        <v>7</v>
      </c>
      <c r="S17" s="7"/>
      <c r="U17" s="2" t="s">
        <v>25</v>
      </c>
      <c r="V17" s="5">
        <v>15</v>
      </c>
      <c r="W17" s="5" t="s">
        <v>8</v>
      </c>
      <c r="X17" s="5" t="s">
        <v>18</v>
      </c>
      <c r="Y17" s="5"/>
      <c r="Z17" s="3" t="s">
        <v>27</v>
      </c>
      <c r="AA17" s="5">
        <v>15</v>
      </c>
      <c r="AB17" s="5" t="s">
        <v>8</v>
      </c>
      <c r="AC17" s="5" t="s">
        <v>18</v>
      </c>
      <c r="AD17" s="5"/>
      <c r="AE17">
        <f t="shared" si="1"/>
        <v>0</v>
      </c>
    </row>
    <row r="18" spans="1:31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7</v>
      </c>
      <c r="L18" s="7"/>
      <c r="N18" s="3" t="s">
        <v>10</v>
      </c>
      <c r="O18">
        <v>35</v>
      </c>
      <c r="P18" t="s">
        <v>8</v>
      </c>
      <c r="Q18" t="s">
        <v>18</v>
      </c>
      <c r="R18" s="5" t="s">
        <v>17</v>
      </c>
      <c r="S18" s="7"/>
      <c r="U18" s="2" t="s">
        <v>25</v>
      </c>
      <c r="V18" s="5">
        <v>15</v>
      </c>
      <c r="W18" s="5" t="s">
        <v>9</v>
      </c>
      <c r="X18" s="5" t="s">
        <v>18</v>
      </c>
      <c r="Y18" s="5"/>
      <c r="Z18" s="3" t="s">
        <v>27</v>
      </c>
      <c r="AA18" s="5">
        <v>15</v>
      </c>
      <c r="AB18" s="5" t="s">
        <v>9</v>
      </c>
      <c r="AC18" s="5" t="s">
        <v>18</v>
      </c>
      <c r="AD18" s="5"/>
      <c r="AE18">
        <f t="shared" si="1"/>
        <v>0</v>
      </c>
    </row>
    <row r="19" spans="1:31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7</v>
      </c>
      <c r="L19" s="7"/>
      <c r="N19" s="3" t="s">
        <v>10</v>
      </c>
      <c r="O19">
        <v>25</v>
      </c>
      <c r="P19" t="s">
        <v>8</v>
      </c>
      <c r="Q19" t="s">
        <v>18</v>
      </c>
      <c r="R19" t="s">
        <v>7</v>
      </c>
      <c r="S19" s="7"/>
      <c r="U19" s="2" t="s">
        <v>25</v>
      </c>
      <c r="V19" s="5">
        <v>5</v>
      </c>
      <c r="W19" s="5" t="s">
        <v>8</v>
      </c>
      <c r="X19" s="5" t="s">
        <v>18</v>
      </c>
      <c r="Y19" s="5"/>
      <c r="Z19" s="3" t="s">
        <v>27</v>
      </c>
      <c r="AA19" s="5">
        <v>5</v>
      </c>
      <c r="AB19" s="5" t="s">
        <v>8</v>
      </c>
      <c r="AC19" s="5" t="s">
        <v>18</v>
      </c>
      <c r="AD19" s="5">
        <v>1</v>
      </c>
      <c r="AE19">
        <f t="shared" si="1"/>
        <v>0</v>
      </c>
    </row>
    <row r="20" spans="1:31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7</v>
      </c>
      <c r="L20" s="7"/>
      <c r="N20" s="3" t="s">
        <v>10</v>
      </c>
      <c r="O20">
        <v>15</v>
      </c>
      <c r="P20" t="s">
        <v>8</v>
      </c>
      <c r="Q20" t="s">
        <v>18</v>
      </c>
      <c r="R20" t="s">
        <v>7</v>
      </c>
      <c r="S20" s="7"/>
      <c r="U20" s="2" t="s">
        <v>25</v>
      </c>
      <c r="V20" s="5">
        <v>5</v>
      </c>
      <c r="W20" s="5" t="s">
        <v>9</v>
      </c>
      <c r="X20" s="5" t="s">
        <v>18</v>
      </c>
      <c r="Y20" s="5">
        <v>1</v>
      </c>
      <c r="Z20" s="3" t="s">
        <v>27</v>
      </c>
      <c r="AA20" s="5">
        <v>5</v>
      </c>
      <c r="AB20" s="5" t="s">
        <v>9</v>
      </c>
      <c r="AC20" s="5" t="s">
        <v>18</v>
      </c>
      <c r="AD20" s="5">
        <v>1</v>
      </c>
      <c r="AE20">
        <f t="shared" si="1"/>
        <v>1</v>
      </c>
    </row>
    <row r="21" spans="1:31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7</v>
      </c>
      <c r="L21" s="7"/>
      <c r="N21" s="3" t="s">
        <v>10</v>
      </c>
      <c r="O21">
        <v>5</v>
      </c>
      <c r="P21" t="s">
        <v>8</v>
      </c>
      <c r="Q21" t="s">
        <v>18</v>
      </c>
      <c r="R21" t="s">
        <v>7</v>
      </c>
      <c r="S21" s="7"/>
      <c r="U21" s="2" t="s">
        <v>25</v>
      </c>
      <c r="V21" s="5">
        <v>0</v>
      </c>
      <c r="W21" s="5" t="s">
        <v>8</v>
      </c>
      <c r="X21" s="5" t="s">
        <v>18</v>
      </c>
      <c r="Y21" s="5">
        <v>1</v>
      </c>
      <c r="Z21" s="3" t="s">
        <v>27</v>
      </c>
      <c r="AA21" s="5">
        <v>0</v>
      </c>
      <c r="AB21" s="5" t="s">
        <v>8</v>
      </c>
      <c r="AC21" s="5" t="s">
        <v>18</v>
      </c>
      <c r="AD21" s="5">
        <v>1</v>
      </c>
      <c r="AE21">
        <f t="shared" si="1"/>
        <v>1</v>
      </c>
    </row>
    <row r="22" spans="1:31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7</v>
      </c>
      <c r="L22" s="7"/>
      <c r="N22" s="3" t="s">
        <v>10</v>
      </c>
      <c r="O22">
        <v>0</v>
      </c>
      <c r="P22" t="s">
        <v>8</v>
      </c>
      <c r="Q22" t="s">
        <v>18</v>
      </c>
      <c r="R22" t="s">
        <v>7</v>
      </c>
      <c r="S22" s="7"/>
      <c r="U22" s="2" t="s">
        <v>25</v>
      </c>
      <c r="V22" s="5">
        <v>0</v>
      </c>
      <c r="W22" s="5" t="s">
        <v>9</v>
      </c>
      <c r="X22" s="5" t="s">
        <v>18</v>
      </c>
      <c r="Y22" s="5">
        <v>1</v>
      </c>
      <c r="Z22" s="3" t="s">
        <v>27</v>
      </c>
      <c r="AA22" s="5">
        <v>0</v>
      </c>
      <c r="AB22" s="5" t="s">
        <v>9</v>
      </c>
      <c r="AC22" s="5" t="s">
        <v>18</v>
      </c>
      <c r="AD22" s="5">
        <v>1</v>
      </c>
      <c r="AE22">
        <f t="shared" si="1"/>
        <v>1</v>
      </c>
    </row>
    <row r="23" spans="1:31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7</v>
      </c>
      <c r="L23" s="6">
        <v>1</v>
      </c>
      <c r="N23" s="4" t="s">
        <v>12</v>
      </c>
      <c r="O23">
        <v>85</v>
      </c>
      <c r="P23" t="s">
        <v>8</v>
      </c>
      <c r="Q23" t="s">
        <v>18</v>
      </c>
      <c r="R23" s="5" t="s">
        <v>17</v>
      </c>
      <c r="S23" s="6"/>
    </row>
    <row r="24" spans="1:31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7</v>
      </c>
      <c r="L24" s="7"/>
      <c r="N24" s="4" t="s">
        <v>12</v>
      </c>
      <c r="O24">
        <v>75</v>
      </c>
      <c r="P24" t="s">
        <v>8</v>
      </c>
      <c r="Q24" t="s">
        <v>18</v>
      </c>
      <c r="R24" s="5" t="s">
        <v>17</v>
      </c>
      <c r="S24" s="7"/>
    </row>
    <row r="25" spans="1:31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7</v>
      </c>
      <c r="L25" s="7"/>
      <c r="N25" s="4" t="s">
        <v>12</v>
      </c>
      <c r="O25">
        <v>65</v>
      </c>
      <c r="P25" t="s">
        <v>8</v>
      </c>
      <c r="Q25" t="s">
        <v>18</v>
      </c>
      <c r="R25" s="5" t="s">
        <v>17</v>
      </c>
      <c r="S25" s="7"/>
    </row>
    <row r="26" spans="1:31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7</v>
      </c>
      <c r="L26" s="7"/>
      <c r="N26" s="4" t="s">
        <v>12</v>
      </c>
      <c r="O26">
        <v>55</v>
      </c>
      <c r="P26" t="s">
        <v>8</v>
      </c>
      <c r="Q26" t="s">
        <v>18</v>
      </c>
      <c r="R26" s="5" t="s">
        <v>17</v>
      </c>
      <c r="S26" s="7"/>
    </row>
    <row r="27" spans="1:31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  <c r="L27" s="7"/>
      <c r="N27" s="4" t="s">
        <v>12</v>
      </c>
      <c r="O27">
        <v>45</v>
      </c>
      <c r="P27" t="s">
        <v>8</v>
      </c>
      <c r="Q27" t="s">
        <v>18</v>
      </c>
      <c r="R27" t="s">
        <v>7</v>
      </c>
      <c r="S27" s="7"/>
    </row>
    <row r="28" spans="1:31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  <c r="L28" s="7"/>
      <c r="N28" s="4" t="s">
        <v>12</v>
      </c>
      <c r="O28">
        <v>35</v>
      </c>
      <c r="P28" t="s">
        <v>8</v>
      </c>
      <c r="Q28" t="s">
        <v>18</v>
      </c>
      <c r="R28" t="s">
        <v>7</v>
      </c>
      <c r="S28" s="7"/>
    </row>
    <row r="29" spans="1:31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  <c r="L29" s="7"/>
      <c r="N29" s="4" t="s">
        <v>12</v>
      </c>
      <c r="O29">
        <v>25</v>
      </c>
      <c r="P29" t="s">
        <v>8</v>
      </c>
      <c r="Q29" t="s">
        <v>18</v>
      </c>
      <c r="R29" t="s">
        <v>7</v>
      </c>
      <c r="S29" s="7"/>
    </row>
    <row r="30" spans="1:31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  <c r="L30" s="7"/>
      <c r="N30" s="4" t="s">
        <v>12</v>
      </c>
      <c r="O30">
        <v>15</v>
      </c>
      <c r="P30" t="s">
        <v>8</v>
      </c>
      <c r="Q30" t="s">
        <v>18</v>
      </c>
      <c r="R30" s="5" t="s">
        <v>17</v>
      </c>
      <c r="S30" s="7"/>
    </row>
    <row r="31" spans="1:31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  <c r="L31" s="7"/>
      <c r="N31" s="4" t="s">
        <v>12</v>
      </c>
      <c r="O31">
        <v>5</v>
      </c>
      <c r="P31" t="s">
        <v>8</v>
      </c>
      <c r="Q31" t="s">
        <v>18</v>
      </c>
      <c r="R31" s="5" t="s">
        <v>17</v>
      </c>
      <c r="S31" s="7"/>
    </row>
    <row r="32" spans="1:31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  <c r="L32" s="7"/>
      <c r="N32" s="4" t="s">
        <v>12</v>
      </c>
      <c r="O32">
        <v>0</v>
      </c>
      <c r="P32" t="s">
        <v>8</v>
      </c>
      <c r="Q32" t="s">
        <v>18</v>
      </c>
      <c r="R32" t="s">
        <v>7</v>
      </c>
      <c r="S32" s="7"/>
    </row>
    <row r="33" spans="1:19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  <c r="L33" s="6">
        <v>0.3</v>
      </c>
      <c r="N33" s="3" t="s">
        <v>15</v>
      </c>
      <c r="O33">
        <v>85</v>
      </c>
      <c r="P33" t="s">
        <v>8</v>
      </c>
      <c r="Q33" t="s">
        <v>18</v>
      </c>
      <c r="R33" t="s">
        <v>7</v>
      </c>
      <c r="S33" s="6"/>
    </row>
    <row r="34" spans="1:19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  <c r="L34" s="7"/>
      <c r="N34" s="3" t="s">
        <v>15</v>
      </c>
      <c r="O34">
        <v>75</v>
      </c>
      <c r="P34" t="s">
        <v>8</v>
      </c>
      <c r="Q34" t="s">
        <v>18</v>
      </c>
      <c r="R34" t="s">
        <v>7</v>
      </c>
      <c r="S34" s="7"/>
    </row>
    <row r="35" spans="1:19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  <c r="L35" s="7"/>
      <c r="N35" s="3" t="s">
        <v>15</v>
      </c>
      <c r="O35">
        <v>65</v>
      </c>
      <c r="P35" t="s">
        <v>8</v>
      </c>
      <c r="Q35" t="s">
        <v>18</v>
      </c>
      <c r="R35" s="5" t="s">
        <v>17</v>
      </c>
      <c r="S35" s="7"/>
    </row>
    <row r="36" spans="1:19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  <c r="L36" s="7"/>
      <c r="N36" s="3" t="s">
        <v>15</v>
      </c>
      <c r="O36">
        <v>55</v>
      </c>
      <c r="P36" t="s">
        <v>8</v>
      </c>
      <c r="Q36" t="s">
        <v>18</v>
      </c>
      <c r="R36" t="s">
        <v>7</v>
      </c>
      <c r="S36" s="7"/>
    </row>
    <row r="37" spans="1:19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7</v>
      </c>
      <c r="L37" s="7"/>
      <c r="N37" s="3" t="s">
        <v>15</v>
      </c>
      <c r="O37">
        <v>45</v>
      </c>
      <c r="P37" t="s">
        <v>8</v>
      </c>
      <c r="Q37" t="s">
        <v>18</v>
      </c>
      <c r="R37" t="s">
        <v>7</v>
      </c>
      <c r="S37" s="7"/>
    </row>
    <row r="38" spans="1:19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  <c r="L38" s="7"/>
      <c r="N38" s="3" t="s">
        <v>15</v>
      </c>
      <c r="O38">
        <v>35</v>
      </c>
      <c r="P38" t="s">
        <v>8</v>
      </c>
      <c r="Q38" t="s">
        <v>18</v>
      </c>
      <c r="R38" s="5" t="s">
        <v>17</v>
      </c>
      <c r="S38" s="7"/>
    </row>
    <row r="39" spans="1:19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7</v>
      </c>
      <c r="L39" s="7"/>
      <c r="N39" s="3" t="s">
        <v>15</v>
      </c>
      <c r="O39">
        <v>25</v>
      </c>
      <c r="P39" t="s">
        <v>8</v>
      </c>
      <c r="Q39" t="s">
        <v>18</v>
      </c>
      <c r="R39" s="5" t="s">
        <v>17</v>
      </c>
      <c r="S39" s="7"/>
    </row>
    <row r="40" spans="1:19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  <c r="L40" s="7"/>
      <c r="N40" s="3" t="s">
        <v>15</v>
      </c>
      <c r="O40">
        <v>15</v>
      </c>
      <c r="P40" t="s">
        <v>8</v>
      </c>
      <c r="Q40" t="s">
        <v>18</v>
      </c>
      <c r="R40" s="5" t="s">
        <v>17</v>
      </c>
      <c r="S40" s="7"/>
    </row>
    <row r="41" spans="1:19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7</v>
      </c>
      <c r="L41" s="7"/>
      <c r="N41" s="3" t="s">
        <v>15</v>
      </c>
      <c r="O41">
        <v>5</v>
      </c>
      <c r="P41" t="s">
        <v>8</v>
      </c>
      <c r="Q41" t="s">
        <v>18</v>
      </c>
      <c r="R41" s="5" t="s">
        <v>17</v>
      </c>
      <c r="S41" s="7"/>
    </row>
    <row r="42" spans="1:19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  <c r="L42" s="7"/>
      <c r="N42" s="3" t="s">
        <v>15</v>
      </c>
      <c r="O42">
        <v>0</v>
      </c>
      <c r="P42" t="s">
        <v>8</v>
      </c>
      <c r="Q42" t="s">
        <v>18</v>
      </c>
      <c r="R42" s="5" t="s">
        <v>17</v>
      </c>
      <c r="S42" s="7"/>
    </row>
    <row r="43" spans="1:19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7</v>
      </c>
      <c r="L43" s="6" t="s">
        <v>23</v>
      </c>
      <c r="N43" s="4" t="s">
        <v>16</v>
      </c>
      <c r="O43">
        <v>85</v>
      </c>
      <c r="P43" t="s">
        <v>8</v>
      </c>
      <c r="Q43" t="s">
        <v>18</v>
      </c>
      <c r="R43" s="5" t="s">
        <v>17</v>
      </c>
      <c r="S43" s="6"/>
    </row>
    <row r="44" spans="1:19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7</v>
      </c>
      <c r="L44" s="7"/>
      <c r="N44" s="4" t="s">
        <v>16</v>
      </c>
      <c r="O44">
        <v>75</v>
      </c>
      <c r="P44" t="s">
        <v>8</v>
      </c>
      <c r="Q44" t="s">
        <v>18</v>
      </c>
      <c r="R44" s="5" t="s">
        <v>17</v>
      </c>
      <c r="S44" s="7"/>
    </row>
    <row r="45" spans="1:19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7</v>
      </c>
      <c r="L45" s="7"/>
      <c r="N45" s="4" t="s">
        <v>16</v>
      </c>
      <c r="O45">
        <v>65</v>
      </c>
      <c r="P45" t="s">
        <v>8</v>
      </c>
      <c r="Q45" t="s">
        <v>18</v>
      </c>
      <c r="R45" t="s">
        <v>7</v>
      </c>
      <c r="S45" s="7"/>
    </row>
    <row r="46" spans="1:19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7</v>
      </c>
      <c r="L46" s="7"/>
      <c r="N46" s="4" t="s">
        <v>16</v>
      </c>
      <c r="O46">
        <v>55</v>
      </c>
      <c r="P46" t="s">
        <v>8</v>
      </c>
      <c r="Q46" t="s">
        <v>18</v>
      </c>
      <c r="R46" t="s">
        <v>7</v>
      </c>
      <c r="S46" s="7"/>
    </row>
    <row r="47" spans="1:19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7</v>
      </c>
      <c r="L47" s="7"/>
      <c r="N47" s="4" t="s">
        <v>16</v>
      </c>
      <c r="O47">
        <v>45</v>
      </c>
      <c r="P47" t="s">
        <v>8</v>
      </c>
      <c r="Q47" t="s">
        <v>18</v>
      </c>
      <c r="R47" s="5" t="s">
        <v>17</v>
      </c>
      <c r="S47" s="7"/>
    </row>
    <row r="48" spans="1:19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  <c r="L48" s="7"/>
      <c r="N48" s="4" t="s">
        <v>16</v>
      </c>
      <c r="O48">
        <v>35</v>
      </c>
      <c r="P48" t="s">
        <v>8</v>
      </c>
      <c r="Q48" t="s">
        <v>18</v>
      </c>
      <c r="R48" s="5" t="s">
        <v>17</v>
      </c>
      <c r="S48" s="7"/>
    </row>
    <row r="49" spans="1:19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7</v>
      </c>
      <c r="L49" s="7"/>
      <c r="N49" s="4" t="s">
        <v>16</v>
      </c>
      <c r="O49">
        <v>25</v>
      </c>
      <c r="P49" t="s">
        <v>8</v>
      </c>
      <c r="Q49" t="s">
        <v>18</v>
      </c>
      <c r="R49" s="5" t="s">
        <v>17</v>
      </c>
      <c r="S49" s="7"/>
    </row>
    <row r="50" spans="1:19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7</v>
      </c>
      <c r="L50" s="7"/>
      <c r="N50" s="4" t="s">
        <v>16</v>
      </c>
      <c r="O50">
        <v>15</v>
      </c>
      <c r="P50" t="s">
        <v>8</v>
      </c>
      <c r="Q50" t="s">
        <v>18</v>
      </c>
      <c r="R50" t="s">
        <v>7</v>
      </c>
      <c r="S50" s="7"/>
    </row>
    <row r="51" spans="1:19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7</v>
      </c>
      <c r="L51" s="7"/>
      <c r="N51" s="4" t="s">
        <v>16</v>
      </c>
      <c r="O51">
        <v>5</v>
      </c>
      <c r="P51" t="s">
        <v>8</v>
      </c>
      <c r="Q51" t="s">
        <v>18</v>
      </c>
      <c r="R51" s="5" t="s">
        <v>17</v>
      </c>
      <c r="S51" s="7"/>
    </row>
    <row r="52" spans="1:19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7</v>
      </c>
      <c r="L52" s="7"/>
      <c r="N52" s="4" t="s">
        <v>16</v>
      </c>
      <c r="O52">
        <v>0</v>
      </c>
      <c r="P52" t="s">
        <v>8</v>
      </c>
      <c r="Q52" t="s">
        <v>18</v>
      </c>
      <c r="R52" s="5" t="s">
        <v>17</v>
      </c>
      <c r="S52" s="7"/>
    </row>
    <row r="53" spans="1:19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</row>
    <row r="54" spans="1:19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</row>
    <row r="55" spans="1:19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</row>
    <row r="56" spans="1:19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</row>
    <row r="57" spans="1:19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</row>
    <row r="58" spans="1:19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</row>
    <row r="59" spans="1:19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</row>
    <row r="60" spans="1:19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</row>
    <row r="61" spans="1:19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</row>
    <row r="62" spans="1:19" x14ac:dyDescent="0.2">
      <c r="A62" s="4" t="s">
        <v>12</v>
      </c>
      <c r="B62">
        <v>0</v>
      </c>
      <c r="C62" t="s">
        <v>9</v>
      </c>
      <c r="D62" t="s">
        <v>13</v>
      </c>
      <c r="E62" t="s">
        <v>7</v>
      </c>
    </row>
    <row r="63" spans="1:19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</row>
    <row r="64" spans="1:19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</row>
    <row r="65" spans="1:5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</row>
    <row r="66" spans="1:5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</row>
    <row r="67" spans="1:5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</row>
    <row r="68" spans="1:5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</row>
    <row r="69" spans="1:5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</row>
    <row r="70" spans="1:5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</row>
    <row r="71" spans="1:5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</row>
    <row r="72" spans="1:5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</row>
    <row r="73" spans="1:5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</row>
    <row r="74" spans="1:5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</row>
    <row r="75" spans="1:5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</row>
    <row r="76" spans="1:5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</row>
    <row r="77" spans="1:5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</row>
    <row r="78" spans="1:5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</row>
    <row r="79" spans="1:5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</row>
    <row r="80" spans="1:5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</row>
    <row r="81" spans="1:5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</row>
    <row r="82" spans="1:5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</row>
    <row r="83" spans="1:5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</row>
    <row r="84" spans="1:5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</row>
    <row r="85" spans="1:5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</row>
    <row r="86" spans="1:5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</row>
    <row r="87" spans="1:5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</row>
    <row r="88" spans="1:5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</row>
    <row r="89" spans="1:5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</row>
    <row r="90" spans="1:5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</row>
    <row r="91" spans="1:5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</row>
    <row r="92" spans="1:5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</row>
    <row r="93" spans="1:5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</row>
    <row r="94" spans="1:5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</row>
    <row r="95" spans="1:5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</row>
    <row r="96" spans="1:5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</row>
    <row r="97" spans="1:5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</row>
    <row r="98" spans="1:5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</row>
    <row r="99" spans="1:5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</row>
    <row r="100" spans="1:5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</row>
    <row r="101" spans="1:5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</row>
    <row r="102" spans="1:5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</row>
  </sheetData>
  <autoFilter ref="AE1:AE102" xr:uid="{CAEE2C2D-7486-9A46-AAA4-C6FF8FC51A81}"/>
  <mergeCells count="15">
    <mergeCell ref="AG1:AS1"/>
    <mergeCell ref="U1:AE1"/>
    <mergeCell ref="S43:S52"/>
    <mergeCell ref="N1:R1"/>
    <mergeCell ref="S3:S12"/>
    <mergeCell ref="S13:S22"/>
    <mergeCell ref="S23:S32"/>
    <mergeCell ref="S33:S42"/>
    <mergeCell ref="L33:L42"/>
    <mergeCell ref="L43:L52"/>
    <mergeCell ref="A1:E1"/>
    <mergeCell ref="G1:K1"/>
    <mergeCell ref="L3:L12"/>
    <mergeCell ref="L13:L22"/>
    <mergeCell ref="L23:L3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2019-11-05T10:20:12Z</dcterms:modified>
</cp:coreProperties>
</file>